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klo1\OneDrive\바탕 화면\2026\GPAssignment\git\일물 실험\"/>
    </mc:Choice>
  </mc:AlternateContent>
  <xr:revisionPtr revIDLastSave="0" documentId="13_ncr:1_{075B665D-9202-4EAD-BA4D-0DA6B250056F}" xr6:coauthVersionLast="47" xr6:coauthVersionMax="47" xr10:uidLastSave="{00000000-0000-0000-0000-000000000000}"/>
  <bookViews>
    <workbookView xWindow="1920" yWindow="1920" windowWidth="17280" windowHeight="9420" xr2:uid="{37ED3A3A-046C-461F-A885-E1209F500294}"/>
  </bookViews>
  <sheets>
    <sheet name="total" sheetId="1" r:id="rId1"/>
    <sheet name="video 1" sheetId="2" r:id="rId2"/>
    <sheet name="video2" sheetId="3" r:id="rId3"/>
    <sheet name="video3" sheetId="4" r:id="rId4"/>
    <sheet name="video4" sheetId="5" r:id="rId5"/>
    <sheet name="Sheet6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8" i="5" l="1"/>
  <c r="J6" i="5"/>
  <c r="J7" i="5"/>
  <c r="J8" i="5"/>
  <c r="J9" i="5"/>
  <c r="J10" i="5"/>
  <c r="J11" i="5"/>
  <c r="J12" i="5"/>
  <c r="J13" i="5"/>
  <c r="J14" i="5"/>
  <c r="J15" i="5"/>
  <c r="J16" i="5"/>
  <c r="J5" i="5"/>
  <c r="F24" i="5"/>
  <c r="F23" i="5"/>
  <c r="E24" i="5"/>
  <c r="E23" i="5"/>
  <c r="I19" i="4"/>
  <c r="I6" i="4"/>
  <c r="I7" i="4"/>
  <c r="I8" i="4"/>
  <c r="I9" i="4"/>
  <c r="I10" i="4"/>
  <c r="I11" i="4"/>
  <c r="I12" i="4"/>
  <c r="I13" i="4"/>
  <c r="I14" i="4"/>
  <c r="I15" i="4"/>
  <c r="I5" i="4"/>
  <c r="E20" i="4"/>
  <c r="E19" i="4"/>
  <c r="D20" i="4"/>
  <c r="D19" i="4"/>
  <c r="I17" i="3"/>
  <c r="I6" i="3"/>
  <c r="I7" i="3"/>
  <c r="I8" i="3"/>
  <c r="I9" i="3"/>
  <c r="I10" i="3"/>
  <c r="I11" i="3"/>
  <c r="I12" i="3"/>
  <c r="I13" i="3"/>
  <c r="I14" i="3"/>
  <c r="I15" i="3"/>
  <c r="I5" i="3"/>
  <c r="E23" i="3"/>
  <c r="E22" i="3"/>
  <c r="D23" i="3"/>
  <c r="D22" i="3"/>
  <c r="I4" i="2"/>
  <c r="I5" i="2"/>
  <c r="I6" i="2"/>
  <c r="I7" i="2"/>
  <c r="I8" i="2"/>
  <c r="I9" i="2"/>
  <c r="I10" i="2"/>
  <c r="I11" i="2"/>
  <c r="I12" i="2"/>
  <c r="I13" i="2"/>
  <c r="I3" i="2"/>
</calcChain>
</file>

<file path=xl/sharedStrings.xml><?xml version="1.0" encoding="utf-8"?>
<sst xmlns="http://schemas.openxmlformats.org/spreadsheetml/2006/main" count="46" uniqueCount="21">
  <si>
    <t>질점_A</t>
  </si>
  <si>
    <t>t</t>
  </si>
  <si>
    <t>x</t>
  </si>
  <si>
    <t>y</t>
  </si>
  <si>
    <t>vx</t>
  </si>
  <si>
    <t>vy</t>
  </si>
  <si>
    <t>R(m)</t>
    <phoneticPr fontId="1" type="noConversion"/>
  </si>
  <si>
    <t>video1</t>
    <phoneticPr fontId="1" type="noConversion"/>
  </si>
  <si>
    <t>질점_B</t>
  </si>
  <si>
    <t>ω</t>
  </si>
  <si>
    <t>ω</t>
    <phoneticPr fontId="1" type="noConversion"/>
  </si>
  <si>
    <t>rad/s</t>
    <phoneticPr fontId="1" type="noConversion"/>
  </si>
  <si>
    <t>video2</t>
    <phoneticPr fontId="1" type="noConversion"/>
  </si>
  <si>
    <t>video3</t>
    <phoneticPr fontId="1" type="noConversion"/>
  </si>
  <si>
    <r>
      <rPr>
        <sz val="11"/>
        <color theme="1"/>
        <rFont val="Calibri"/>
        <family val="2"/>
        <charset val="161"/>
      </rPr>
      <t>ω</t>
    </r>
    <r>
      <rPr>
        <sz val="11"/>
        <color theme="1"/>
        <rFont val="맑은 고딕"/>
        <family val="2"/>
        <charset val="129"/>
        <scheme val="minor"/>
      </rPr>
      <t>_2</t>
    </r>
    <r>
      <rPr>
        <sz val="11"/>
        <color theme="1"/>
        <rFont val="맑은 고딕"/>
        <family val="2"/>
        <charset val="161"/>
        <scheme val="minor"/>
      </rPr>
      <t>(</t>
    </r>
    <r>
      <rPr>
        <sz val="11"/>
        <color theme="1"/>
        <rFont val="Calibri"/>
        <family val="2"/>
      </rPr>
      <t>rad/s</t>
    </r>
    <r>
      <rPr>
        <sz val="11"/>
        <color theme="1"/>
        <rFont val="맑은 고딕"/>
        <family val="2"/>
        <charset val="161"/>
        <scheme val="minor"/>
      </rPr>
      <t>)</t>
    </r>
    <phoneticPr fontId="1" type="noConversion"/>
  </si>
  <si>
    <t>video4</t>
    <phoneticPr fontId="1" type="noConversion"/>
  </si>
  <si>
    <t>degree</t>
    <phoneticPr fontId="1" type="noConversion"/>
  </si>
  <si>
    <t>v_x1(m/s)</t>
    <phoneticPr fontId="1" type="noConversion"/>
  </si>
  <si>
    <t>v_x2(m/s)</t>
    <phoneticPr fontId="1" type="noConversion"/>
  </si>
  <si>
    <t>v_y1(m/s)</t>
    <phoneticPr fontId="1" type="noConversion"/>
  </si>
  <si>
    <t>v_y2(m/s)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</si>
</sst>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Calibri"/>
      <family val="2"/>
      <charset val="161"/>
    </font>
    <font>
      <sz val="11"/>
      <color theme="1"/>
      <name val="맑은 고딕"/>
      <family val="2"/>
      <charset val="161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11" fontId="0" fillId="0" borderId="0" xfId="0" applyNumberForma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EEF35-AF02-414D-A36E-F4D134328244}">
  <dimension ref="A1:H5"/>
  <sheetViews>
    <sheetView tabSelected="1" workbookViewId="0">
      <selection activeCell="I3" sqref="I3"/>
    </sheetView>
  </sheetViews>
  <sheetFormatPr defaultRowHeight="17.399999999999999" x14ac:dyDescent="0.4"/>
  <cols>
    <col min="4" max="4" width="9.59765625" customWidth="1"/>
  </cols>
  <sheetData>
    <row r="1" spans="1:8" x14ac:dyDescent="0.4">
      <c r="B1" t="s">
        <v>16</v>
      </c>
      <c r="C1" t="s">
        <v>17</v>
      </c>
      <c r="D1" t="s">
        <v>18</v>
      </c>
      <c r="E1" t="s">
        <v>19</v>
      </c>
      <c r="F1" t="s">
        <v>20</v>
      </c>
      <c r="G1" s="3" t="s">
        <v>14</v>
      </c>
      <c r="H1" t="s">
        <v>6</v>
      </c>
    </row>
    <row r="2" spans="1:8" x14ac:dyDescent="0.4">
      <c r="A2" t="s">
        <v>7</v>
      </c>
      <c r="B2">
        <v>37.6</v>
      </c>
      <c r="C2">
        <v>7.6347597500000006</v>
      </c>
      <c r="D2">
        <v>4.4508938750000002</v>
      </c>
      <c r="E2">
        <v>-6.9841497499999994</v>
      </c>
      <c r="F2">
        <v>3.5599693333333331</v>
      </c>
      <c r="G2">
        <v>-76.268465795150433</v>
      </c>
      <c r="H2">
        <v>3.5999999999999997E-2</v>
      </c>
    </row>
    <row r="3" spans="1:8" x14ac:dyDescent="0.4">
      <c r="A3" t="s">
        <v>12</v>
      </c>
      <c r="B3">
        <v>48</v>
      </c>
      <c r="C3">
        <v>127.76346666666666</v>
      </c>
      <c r="D3">
        <v>86.935716666666679</v>
      </c>
      <c r="E3">
        <v>-88.437190000000001</v>
      </c>
      <c r="F3">
        <v>53.591786666666657</v>
      </c>
      <c r="G3">
        <v>-82.711452866866196</v>
      </c>
      <c r="H3">
        <v>3.5999999999999997E-2</v>
      </c>
    </row>
    <row r="4" spans="1:8" x14ac:dyDescent="0.4">
      <c r="A4" t="s">
        <v>13</v>
      </c>
      <c r="B4">
        <v>39.5</v>
      </c>
      <c r="C4">
        <v>8.660882749999999</v>
      </c>
      <c r="D4">
        <v>6.6679786000000005</v>
      </c>
      <c r="E4">
        <v>-7.8718439999999994</v>
      </c>
      <c r="F4">
        <v>3.9801951999999998</v>
      </c>
      <c r="G4">
        <v>-72.304291611114081</v>
      </c>
      <c r="H4">
        <v>3.5999999999999997E-2</v>
      </c>
    </row>
    <row r="5" spans="1:8" x14ac:dyDescent="0.4">
      <c r="A5" t="s">
        <v>15</v>
      </c>
      <c r="B5">
        <v>34.200000000000003</v>
      </c>
      <c r="C5">
        <v>7.2145375000000005</v>
      </c>
      <c r="D5">
        <v>4.3794043333333335</v>
      </c>
      <c r="E5">
        <v>-4.6195452499999998</v>
      </c>
      <c r="F5">
        <v>2.9663393333333334</v>
      </c>
      <c r="G5">
        <v>-87.941296648327594</v>
      </c>
      <c r="H5">
        <v>3.5999999999999997E-2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1994C-5F09-4AF6-8963-6E2B80EE0EC7}">
  <dimension ref="A2:I18"/>
  <sheetViews>
    <sheetView workbookViewId="0">
      <selection activeCell="D19" sqref="D19"/>
    </sheetView>
  </sheetViews>
  <sheetFormatPr defaultRowHeight="17.399999999999999" x14ac:dyDescent="0.4"/>
  <cols>
    <col min="4" max="4" width="9" bestFit="1" customWidth="1"/>
    <col min="5" max="5" width="11.796875" customWidth="1"/>
    <col min="8" max="8" width="10.69921875" customWidth="1"/>
    <col min="9" max="9" width="9.69921875" bestFit="1" customWidth="1"/>
  </cols>
  <sheetData>
    <row r="2" spans="1:9" x14ac:dyDescent="0.4">
      <c r="A2" t="s">
        <v>1</v>
      </c>
      <c r="B2" t="s">
        <v>2</v>
      </c>
      <c r="C2" t="s">
        <v>3</v>
      </c>
      <c r="D2" t="s">
        <v>4</v>
      </c>
      <c r="E2" t="s">
        <v>5</v>
      </c>
      <c r="G2" t="s">
        <v>1</v>
      </c>
      <c r="H2" s="2" t="s">
        <v>10</v>
      </c>
      <c r="I2" t="s">
        <v>11</v>
      </c>
    </row>
    <row r="3" spans="1:9" x14ac:dyDescent="0.4">
      <c r="A3" s="1">
        <v>1.666161E-2</v>
      </c>
      <c r="B3" s="1">
        <v>3.6185120000000001E-2</v>
      </c>
      <c r="C3" s="1">
        <v>0.26535750000000002</v>
      </c>
      <c r="G3" s="1">
        <v>1.666161E-2</v>
      </c>
      <c r="H3" s="1">
        <v>4373.7330000000002</v>
      </c>
      <c r="I3" s="1">
        <f>H3*PI()/180</f>
        <v>76.336041453129155</v>
      </c>
    </row>
    <row r="4" spans="1:9" x14ac:dyDescent="0.4">
      <c r="A4" s="1">
        <v>2.0823189999999998E-2</v>
      </c>
      <c r="B4" s="1">
        <v>7.1767150000000002E-2</v>
      </c>
      <c r="C4" s="1">
        <v>0.23158480000000001</v>
      </c>
      <c r="D4" s="1">
        <v>8.1167130000000007</v>
      </c>
      <c r="E4" s="1">
        <v>-7.8993010000000004</v>
      </c>
      <c r="G4" s="1">
        <v>2.0823189999999998E-2</v>
      </c>
      <c r="H4" s="1">
        <v>-1537.5070000000001</v>
      </c>
      <c r="I4" s="1">
        <f t="shared" ref="I4:I13" si="0">H4*PI()/180</f>
        <v>-26.834559422460455</v>
      </c>
    </row>
    <row r="5" spans="1:9" x14ac:dyDescent="0.4">
      <c r="A5" s="1">
        <v>2.4983390000000001E-2</v>
      </c>
      <c r="B5" s="1">
        <v>0.1037307</v>
      </c>
      <c r="C5" s="1">
        <v>0.1996212</v>
      </c>
      <c r="D5" s="1">
        <v>7.8993010000000004</v>
      </c>
      <c r="E5" s="1">
        <v>-7.681889</v>
      </c>
      <c r="G5" s="1">
        <v>2.4983390000000001E-2</v>
      </c>
      <c r="H5" s="1">
        <v>-1190.827</v>
      </c>
      <c r="I5" s="1">
        <f t="shared" si="0"/>
        <v>-20.783851971646513</v>
      </c>
    </row>
    <row r="6" spans="1:9" x14ac:dyDescent="0.4">
      <c r="A6" s="1">
        <v>2.9144980000000001E-2</v>
      </c>
      <c r="B6" s="1">
        <v>0.1375034</v>
      </c>
      <c r="C6" s="1">
        <v>0.16765769999999999</v>
      </c>
      <c r="D6" s="1">
        <v>7.8756700000000004</v>
      </c>
      <c r="E6" s="1">
        <v>-7.8034160000000004</v>
      </c>
      <c r="G6" s="1">
        <v>2.9144980000000001E-2</v>
      </c>
      <c r="H6" s="1">
        <v>-573.36559999999997</v>
      </c>
      <c r="I6" s="1">
        <f t="shared" si="0"/>
        <v>-10.0071175376728</v>
      </c>
    </row>
    <row r="7" spans="1:9" x14ac:dyDescent="0.4">
      <c r="A7" s="1">
        <v>3.3330150000000003E-2</v>
      </c>
      <c r="B7" s="1">
        <v>0.16946700000000001</v>
      </c>
      <c r="C7" s="1">
        <v>0.134488</v>
      </c>
      <c r="D7" s="1">
        <v>6.6473550000000001</v>
      </c>
      <c r="E7" s="1">
        <v>-4.5519930000000004</v>
      </c>
      <c r="G7" s="1">
        <v>3.3330150000000003E-2</v>
      </c>
      <c r="H7" s="1">
        <v>-3884.1529999999998</v>
      </c>
      <c r="I7" s="1">
        <f t="shared" si="0"/>
        <v>-67.79125850121531</v>
      </c>
    </row>
    <row r="8" spans="1:9" x14ac:dyDescent="0.4">
      <c r="A8" s="1">
        <v>3.7491740000000003E-2</v>
      </c>
      <c r="B8" s="1">
        <v>0.1929873</v>
      </c>
      <c r="C8" s="1">
        <v>0.12966330000000001</v>
      </c>
      <c r="D8" s="1">
        <v>4.8555339999999996</v>
      </c>
      <c r="E8" s="1">
        <v>1.2320009999999999</v>
      </c>
      <c r="G8" s="1">
        <v>3.7491740000000003E-2</v>
      </c>
      <c r="H8" s="1">
        <v>-6298.5479999999998</v>
      </c>
      <c r="I8" s="1">
        <f t="shared" si="0"/>
        <v>-109.9304006949038</v>
      </c>
    </row>
    <row r="9" spans="1:9" x14ac:dyDescent="0.4">
      <c r="A9" s="1">
        <v>4.1651939999999998E-2</v>
      </c>
      <c r="B9" s="1">
        <v>0.2098737</v>
      </c>
      <c r="C9" s="1">
        <v>0.14474049999999999</v>
      </c>
      <c r="D9" s="1">
        <v>4.058357</v>
      </c>
      <c r="E9" s="1">
        <v>3.9134150000000001</v>
      </c>
      <c r="G9" s="1">
        <v>4.1651939999999998E-2</v>
      </c>
      <c r="H9" s="1">
        <v>-4653.598</v>
      </c>
      <c r="I9" s="1">
        <f t="shared" si="0"/>
        <v>-81.220607164223082</v>
      </c>
    </row>
    <row r="10" spans="1:9" x14ac:dyDescent="0.4">
      <c r="A10" s="1">
        <v>4.5813520000000003E-2</v>
      </c>
      <c r="B10" s="1">
        <v>0.22676009999999999</v>
      </c>
      <c r="C10" s="1">
        <v>0.16222990000000001</v>
      </c>
      <c r="D10" s="1">
        <v>4.119154</v>
      </c>
      <c r="E10" s="1">
        <v>4.2636859999999999</v>
      </c>
      <c r="G10" s="1">
        <v>4.5813520000000003E-2</v>
      </c>
      <c r="H10" s="1">
        <v>-4494.3249999999998</v>
      </c>
      <c r="I10" s="1">
        <f t="shared" si="0"/>
        <v>-78.440768904694153</v>
      </c>
    </row>
    <row r="11" spans="1:9" x14ac:dyDescent="0.4">
      <c r="A11" s="1">
        <v>4.9997300000000001E-2</v>
      </c>
      <c r="B11" s="1">
        <v>0.24424950000000001</v>
      </c>
      <c r="C11" s="1">
        <v>0.1803225</v>
      </c>
      <c r="D11" s="1">
        <v>4.2636859999999999</v>
      </c>
      <c r="E11" s="1">
        <v>4.2636859999999999</v>
      </c>
      <c r="G11" s="1">
        <v>4.9997300000000001E-2</v>
      </c>
      <c r="H11" s="1">
        <v>-4496.2520000000004</v>
      </c>
      <c r="I11" s="1">
        <f t="shared" si="0"/>
        <v>-78.474401399380085</v>
      </c>
    </row>
    <row r="12" spans="1:9" x14ac:dyDescent="0.4">
      <c r="A12" s="1">
        <v>5.4158890000000001E-2</v>
      </c>
      <c r="B12" s="1">
        <v>0.26234210000000002</v>
      </c>
      <c r="C12" s="1">
        <v>0.19781199999999999</v>
      </c>
      <c r="D12" s="1">
        <v>4.5656509999999999</v>
      </c>
      <c r="E12" s="1">
        <v>3.9858859999999998</v>
      </c>
      <c r="G12" s="1">
        <v>5.4158890000000001E-2</v>
      </c>
      <c r="H12" s="1">
        <v>-4167.4750000000004</v>
      </c>
      <c r="I12" s="1">
        <f t="shared" si="0"/>
        <v>-72.736160244550689</v>
      </c>
    </row>
    <row r="13" spans="1:9" x14ac:dyDescent="0.4">
      <c r="A13" s="1">
        <v>5.8319089999999997E-2</v>
      </c>
      <c r="B13" s="1">
        <v>0.28224389999999999</v>
      </c>
      <c r="C13" s="1">
        <v>0.21349219999999999</v>
      </c>
      <c r="D13" s="1">
        <v>4.7105920000000001</v>
      </c>
      <c r="E13" s="1">
        <v>3.8409450000000001</v>
      </c>
      <c r="G13" s="1">
        <v>5.8319089999999997E-2</v>
      </c>
      <c r="H13" s="1">
        <v>-4037.6559999999999</v>
      </c>
      <c r="I13" s="1">
        <f t="shared" si="0"/>
        <v>-70.470391262904158</v>
      </c>
    </row>
    <row r="14" spans="1:9" x14ac:dyDescent="0.4">
      <c r="A14" s="1">
        <v>6.2480679999999997E-2</v>
      </c>
      <c r="B14" s="1">
        <v>0.3015427</v>
      </c>
      <c r="C14" s="1">
        <v>0.22977549999999999</v>
      </c>
      <c r="D14" s="1">
        <v>4.6980620000000002</v>
      </c>
      <c r="E14" s="1">
        <v>3.7584499999999998</v>
      </c>
      <c r="G14" s="1">
        <v>6.2480679999999997E-2</v>
      </c>
      <c r="I14" s="1"/>
    </row>
    <row r="15" spans="1:9" x14ac:dyDescent="0.4">
      <c r="A15" s="1">
        <v>6.6663070000000005E-2</v>
      </c>
      <c r="B15" s="1">
        <v>0.32144450000000002</v>
      </c>
      <c r="C15" s="1">
        <v>0.2448526</v>
      </c>
      <c r="D15" s="1">
        <v>4.5542639999999999</v>
      </c>
      <c r="E15" s="1">
        <v>3.3976250000000001</v>
      </c>
    </row>
    <row r="16" spans="1:9" x14ac:dyDescent="0.4">
      <c r="A16" s="1">
        <v>7.0823269999999994E-2</v>
      </c>
      <c r="B16" s="1">
        <v>0.33953699999999998</v>
      </c>
      <c r="C16" s="1">
        <v>0.25812049999999997</v>
      </c>
      <c r="D16" s="1">
        <v>4.2757690000000004</v>
      </c>
      <c r="E16" s="1">
        <v>3.33365</v>
      </c>
    </row>
    <row r="17" spans="1:5" x14ac:dyDescent="0.4">
      <c r="A17" s="1">
        <v>7.498486E-2</v>
      </c>
      <c r="B17" s="1">
        <v>0.35702650000000002</v>
      </c>
      <c r="C17" s="1">
        <v>0.27259460000000002</v>
      </c>
      <c r="D17" s="1">
        <v>4.4199729999999997</v>
      </c>
      <c r="E17" s="1">
        <v>3.0432600000000001</v>
      </c>
    </row>
    <row r="18" spans="1:5" x14ac:dyDescent="0.4">
      <c r="A18" s="1">
        <v>7.9146449999999993E-2</v>
      </c>
      <c r="B18" s="1">
        <v>0.37632520000000003</v>
      </c>
      <c r="C18" s="1">
        <v>0.28345009999999998</v>
      </c>
      <c r="D18" s="1"/>
      <c r="E18" s="1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E1DBA-B753-419F-B356-F7D2886ADB5B}">
  <dimension ref="A2:I23"/>
  <sheetViews>
    <sheetView workbookViewId="0">
      <selection activeCell="I17" sqref="I17"/>
    </sheetView>
  </sheetViews>
  <sheetFormatPr defaultRowHeight="17.399999999999999" x14ac:dyDescent="0.4"/>
  <cols>
    <col min="4" max="4" width="9" bestFit="1" customWidth="1"/>
    <col min="5" max="5" width="9.8984375" customWidth="1"/>
    <col min="8" max="8" width="11.09765625" customWidth="1"/>
    <col min="9" max="9" width="9.69921875" bestFit="1" customWidth="1"/>
  </cols>
  <sheetData>
    <row r="2" spans="1:9" x14ac:dyDescent="0.4">
      <c r="B2" t="s">
        <v>0</v>
      </c>
      <c r="H2" t="s">
        <v>8</v>
      </c>
    </row>
    <row r="3" spans="1:9" x14ac:dyDescent="0.4">
      <c r="A3" t="s">
        <v>1</v>
      </c>
      <c r="B3" t="s">
        <v>2</v>
      </c>
      <c r="C3" t="s">
        <v>3</v>
      </c>
      <c r="D3" t="s">
        <v>4</v>
      </c>
      <c r="E3" t="s">
        <v>5</v>
      </c>
      <c r="G3" t="s">
        <v>1</v>
      </c>
      <c r="H3" t="s">
        <v>9</v>
      </c>
    </row>
    <row r="4" spans="1:9" x14ac:dyDescent="0.4">
      <c r="A4" s="1">
        <v>0</v>
      </c>
      <c r="B4" s="1">
        <v>0.25674419999999998</v>
      </c>
      <c r="C4" s="1">
        <v>3.6055809999999999</v>
      </c>
      <c r="G4" s="1">
        <v>0</v>
      </c>
    </row>
    <row r="5" spans="1:9" x14ac:dyDescent="0.4">
      <c r="A5" s="1">
        <v>4.1837649999999999E-3</v>
      </c>
      <c r="B5" s="1">
        <v>0.80372089999999996</v>
      </c>
      <c r="C5" s="1">
        <v>3.1702330000000001</v>
      </c>
      <c r="D5" s="1">
        <v>131.10740000000001</v>
      </c>
      <c r="E5" s="1">
        <v>-107.0265</v>
      </c>
      <c r="G5" s="1">
        <v>4.1837649999999999E-3</v>
      </c>
      <c r="H5" s="1">
        <v>-650.25390000000004</v>
      </c>
      <c r="I5" s="1">
        <f>H5*PI()/180</f>
        <v>-11.349071528933955</v>
      </c>
    </row>
    <row r="6" spans="1:9" x14ac:dyDescent="0.4">
      <c r="A6" s="1">
        <v>8.3439470000000009E-3</v>
      </c>
      <c r="B6" s="1">
        <v>1.350698</v>
      </c>
      <c r="C6" s="1">
        <v>2.712558</v>
      </c>
      <c r="D6" s="1">
        <v>142.1883</v>
      </c>
      <c r="E6" s="1">
        <v>-116.7017</v>
      </c>
      <c r="G6" s="1">
        <v>8.3439470000000009E-3</v>
      </c>
      <c r="H6" s="1">
        <v>-1002.8390000000001</v>
      </c>
      <c r="I6" s="1">
        <f t="shared" ref="I6:I15" si="0">H6*PI()/180</f>
        <v>-17.502842417407415</v>
      </c>
    </row>
    <row r="7" spans="1:9" x14ac:dyDescent="0.4">
      <c r="A7" s="1">
        <v>1.2505519999999999E-2</v>
      </c>
      <c r="B7" s="1">
        <v>1.986977</v>
      </c>
      <c r="C7" s="1">
        <v>2.1990699999999999</v>
      </c>
      <c r="D7" s="1">
        <v>109.99469999999999</v>
      </c>
      <c r="E7" s="1">
        <v>-41.583370000000002</v>
      </c>
      <c r="G7" s="1">
        <v>1.2505519999999999E-2</v>
      </c>
      <c r="H7" s="1">
        <v>-2578.9690000000001</v>
      </c>
      <c r="I7" s="1">
        <f t="shared" si="0"/>
        <v>-45.011500356865639</v>
      </c>
    </row>
    <row r="8" spans="1:9" x14ac:dyDescent="0.4">
      <c r="A8" s="1">
        <v>1.6665699999999999E-2</v>
      </c>
      <c r="B8" s="1">
        <v>2.2660469999999999</v>
      </c>
      <c r="C8" s="1">
        <v>2.3665120000000002</v>
      </c>
      <c r="D8" s="1">
        <v>62.857149999999997</v>
      </c>
      <c r="E8" s="1">
        <v>45.471130000000002</v>
      </c>
      <c r="G8" s="1">
        <v>1.6665699999999999E-2</v>
      </c>
      <c r="H8" s="1">
        <v>-3891.3139999999999</v>
      </c>
      <c r="I8" s="1">
        <f t="shared" si="0"/>
        <v>-67.916241528950621</v>
      </c>
    </row>
    <row r="9" spans="1:9" x14ac:dyDescent="0.4">
      <c r="A9" s="1">
        <v>2.0852240000000001E-2</v>
      </c>
      <c r="B9" s="1">
        <v>2.511628</v>
      </c>
      <c r="C9" s="1">
        <v>2.578605</v>
      </c>
      <c r="D9" s="1">
        <v>61.519770000000001</v>
      </c>
      <c r="E9" s="1">
        <v>54.832839999999997</v>
      </c>
      <c r="G9" s="1">
        <v>2.0852240000000001E-2</v>
      </c>
      <c r="H9" s="1">
        <v>-4376.0140000000001</v>
      </c>
      <c r="I9" s="1">
        <f t="shared" si="0"/>
        <v>-76.375852413367141</v>
      </c>
    </row>
    <row r="10" spans="1:9" x14ac:dyDescent="0.4">
      <c r="A10" s="1">
        <v>2.501242E-2</v>
      </c>
      <c r="B10" s="1">
        <v>2.7795350000000001</v>
      </c>
      <c r="C10" s="1">
        <v>2.8241860000000001</v>
      </c>
      <c r="D10" s="1">
        <v>72.435550000000006</v>
      </c>
      <c r="E10" s="1">
        <v>64.387150000000005</v>
      </c>
      <c r="G10" s="1">
        <v>2.501242E-2</v>
      </c>
      <c r="H10" s="1">
        <v>-5018.7950000000001</v>
      </c>
      <c r="I10" s="1">
        <f t="shared" si="0"/>
        <v>-87.594497232628811</v>
      </c>
    </row>
    <row r="11" spans="1:9" x14ac:dyDescent="0.4">
      <c r="A11" s="1">
        <v>2.917399E-2</v>
      </c>
      <c r="B11" s="1">
        <v>3.1144189999999998</v>
      </c>
      <c r="C11" s="1">
        <v>3.1144189999999998</v>
      </c>
      <c r="D11" s="1">
        <v>80.483940000000004</v>
      </c>
      <c r="E11" s="1">
        <v>63.045760000000001</v>
      </c>
      <c r="G11" s="1">
        <v>2.917399E-2</v>
      </c>
      <c r="H11" s="1">
        <v>-5431.2560000000003</v>
      </c>
      <c r="I11" s="1">
        <f t="shared" si="0"/>
        <v>-94.793299718697142</v>
      </c>
    </row>
    <row r="12" spans="1:9" x14ac:dyDescent="0.4">
      <c r="A12" s="1">
        <v>3.3334170000000003E-2</v>
      </c>
      <c r="B12" s="1">
        <v>3.4493019999999999</v>
      </c>
      <c r="C12" s="1">
        <v>3.3488370000000001</v>
      </c>
      <c r="D12" s="1">
        <v>82.931730000000002</v>
      </c>
      <c r="E12" s="1">
        <v>58.854779999999998</v>
      </c>
      <c r="G12" s="1">
        <v>3.3334170000000003E-2</v>
      </c>
      <c r="H12" s="1">
        <v>-5313.8090000000002</v>
      </c>
      <c r="I12" s="1">
        <f t="shared" si="0"/>
        <v>-92.743462872107358</v>
      </c>
    </row>
    <row r="13" spans="1:9" x14ac:dyDescent="0.4">
      <c r="A13" s="1">
        <v>3.7519329999999997E-2</v>
      </c>
      <c r="B13" s="1">
        <v>3.8065120000000001</v>
      </c>
      <c r="C13" s="1">
        <v>3.6055809999999999</v>
      </c>
      <c r="D13" s="1">
        <v>86.944550000000007</v>
      </c>
      <c r="E13" s="1">
        <v>61.529989999999998</v>
      </c>
      <c r="G13" s="1">
        <v>3.7519329999999997E-2</v>
      </c>
      <c r="H13" s="1">
        <v>-4485.3999999999996</v>
      </c>
      <c r="I13" s="1">
        <f t="shared" si="0"/>
        <v>-78.284998268953643</v>
      </c>
    </row>
    <row r="14" spans="1:9" x14ac:dyDescent="0.4">
      <c r="A14" s="1">
        <v>4.1679510000000003E-2</v>
      </c>
      <c r="B14" s="1">
        <v>4.1748839999999996</v>
      </c>
      <c r="C14" s="1">
        <v>3.8623259999999999</v>
      </c>
      <c r="D14" s="1">
        <v>91.215140000000005</v>
      </c>
      <c r="E14" s="1">
        <v>54.99736</v>
      </c>
      <c r="G14" s="1">
        <v>4.1679510000000003E-2</v>
      </c>
      <c r="H14" s="1">
        <v>-3995.2</v>
      </c>
      <c r="I14" s="1">
        <f t="shared" si="0"/>
        <v>-69.72939427567745</v>
      </c>
    </row>
    <row r="15" spans="1:9" x14ac:dyDescent="0.4">
      <c r="A15" s="1">
        <v>4.5841079999999999E-2</v>
      </c>
      <c r="B15" s="1">
        <v>4.5655809999999999</v>
      </c>
      <c r="C15" s="1">
        <v>4.063256</v>
      </c>
      <c r="D15" s="1">
        <v>92.556529999999995</v>
      </c>
      <c r="E15" s="1">
        <v>50.97316</v>
      </c>
      <c r="G15" s="1">
        <v>4.5841079999999999E-2</v>
      </c>
      <c r="H15" s="1">
        <v>-4189.643</v>
      </c>
      <c r="I15" s="1">
        <f t="shared" si="0"/>
        <v>-73.123064833132787</v>
      </c>
    </row>
    <row r="16" spans="1:9" x14ac:dyDescent="0.4">
      <c r="A16" s="1">
        <v>5.0001259999999999E-2</v>
      </c>
      <c r="B16" s="1">
        <v>4.9451159999999996</v>
      </c>
      <c r="C16" s="1">
        <v>4.2865120000000001</v>
      </c>
      <c r="D16" s="1">
        <v>90.987629999999996</v>
      </c>
      <c r="E16" s="1">
        <v>46.831870000000002</v>
      </c>
      <c r="G16" s="1">
        <v>5.0001259999999999E-2</v>
      </c>
    </row>
    <row r="17" spans="1:9" x14ac:dyDescent="0.4">
      <c r="A17" s="1">
        <v>5.4183639999999998E-2</v>
      </c>
      <c r="B17" s="1">
        <v>5.3246510000000002</v>
      </c>
      <c r="C17" s="1">
        <v>4.4539530000000003</v>
      </c>
      <c r="D17" s="1">
        <v>86.959010000000006</v>
      </c>
      <c r="E17" s="1">
        <v>41.472760000000001</v>
      </c>
      <c r="I17" s="1">
        <f>AVERAGE(I10:I15)</f>
        <v>-82.711452866866196</v>
      </c>
    </row>
    <row r="18" spans="1:9" x14ac:dyDescent="0.4">
      <c r="A18" s="1">
        <v>5.8345210000000002E-2</v>
      </c>
      <c r="B18" s="1">
        <v>5.6706979999999998</v>
      </c>
      <c r="C18" s="1">
        <v>4.6325580000000004</v>
      </c>
      <c r="D18" s="1">
        <v>88.517579999999995</v>
      </c>
      <c r="E18" s="1">
        <v>52.305840000000003</v>
      </c>
    </row>
    <row r="19" spans="1:9" x14ac:dyDescent="0.4">
      <c r="A19" s="1">
        <v>6.2506779999999998E-2</v>
      </c>
      <c r="B19" s="1">
        <v>6.0613950000000001</v>
      </c>
      <c r="C19" s="1">
        <v>4.8893019999999998</v>
      </c>
      <c r="D19" s="1">
        <v>81.825339999999997</v>
      </c>
      <c r="E19" s="1">
        <v>52.31456</v>
      </c>
    </row>
    <row r="20" spans="1:9" x14ac:dyDescent="0.4">
      <c r="A20" s="1">
        <v>6.6666959999999997E-2</v>
      </c>
      <c r="B20" s="1">
        <v>6.3516279999999998</v>
      </c>
      <c r="C20" s="1">
        <v>5.0679069999999999</v>
      </c>
    </row>
    <row r="22" spans="1:9" x14ac:dyDescent="0.4">
      <c r="D22" s="1">
        <f>AVERAGE(D5:D7)</f>
        <v>127.76346666666666</v>
      </c>
      <c r="E22" s="1">
        <f>AVERAGE(E5:E7)</f>
        <v>-88.437190000000001</v>
      </c>
    </row>
    <row r="23" spans="1:9" x14ac:dyDescent="0.4">
      <c r="D23" s="1">
        <f>AVERAGE(D11:D19)</f>
        <v>86.935716666666679</v>
      </c>
      <c r="E23" s="1">
        <f>AVERAGE(E11:E19)</f>
        <v>53.591786666666657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C01B1-75C0-44E8-B63F-AB4D91A50499}">
  <dimension ref="A2:I20"/>
  <sheetViews>
    <sheetView workbookViewId="0">
      <selection activeCell="I19" sqref="I19"/>
    </sheetView>
  </sheetViews>
  <sheetFormatPr defaultRowHeight="17.399999999999999" x14ac:dyDescent="0.4"/>
  <cols>
    <col min="4" max="4" width="9" bestFit="1" customWidth="1"/>
    <col min="5" max="5" width="12.796875" customWidth="1"/>
    <col min="7" max="7" width="10.796875" customWidth="1"/>
    <col min="8" max="8" width="11.09765625" customWidth="1"/>
    <col min="9" max="9" width="9.69921875" bestFit="1" customWidth="1"/>
  </cols>
  <sheetData>
    <row r="2" spans="1:9" x14ac:dyDescent="0.4">
      <c r="B2" t="s">
        <v>0</v>
      </c>
      <c r="H2" t="s">
        <v>8</v>
      </c>
    </row>
    <row r="3" spans="1:9" x14ac:dyDescent="0.4">
      <c r="A3" t="s">
        <v>1</v>
      </c>
      <c r="B3" t="s">
        <v>2</v>
      </c>
      <c r="C3" t="s">
        <v>3</v>
      </c>
      <c r="D3" t="s">
        <v>4</v>
      </c>
      <c r="E3" t="s">
        <v>5</v>
      </c>
      <c r="G3" t="s">
        <v>1</v>
      </c>
      <c r="H3" t="s">
        <v>9</v>
      </c>
    </row>
    <row r="4" spans="1:9" x14ac:dyDescent="0.4">
      <c r="A4" s="1">
        <v>0</v>
      </c>
      <c r="B4" s="1">
        <v>0.1116945</v>
      </c>
      <c r="C4" s="1">
        <v>0.28487950000000001</v>
      </c>
      <c r="G4" s="1">
        <v>0</v>
      </c>
    </row>
    <row r="5" spans="1:9" x14ac:dyDescent="0.4">
      <c r="A5" s="1">
        <v>4.1600079999999998E-3</v>
      </c>
      <c r="B5" s="1">
        <v>0.14838770000000001</v>
      </c>
      <c r="C5" s="1">
        <v>0.25124410000000003</v>
      </c>
      <c r="D5" s="1">
        <v>8.5250219999999999</v>
      </c>
      <c r="E5" s="1">
        <v>-7.8635979999999996</v>
      </c>
      <c r="G5" s="1">
        <v>4.1600079999999998E-3</v>
      </c>
      <c r="H5" s="1">
        <v>-1002.708</v>
      </c>
      <c r="I5" s="1">
        <f>H5*PI()/180</f>
        <v>-17.5005560360873</v>
      </c>
    </row>
    <row r="6" spans="1:9" x14ac:dyDescent="0.4">
      <c r="A6" s="1">
        <v>8.3214039999999993E-3</v>
      </c>
      <c r="B6" s="1">
        <v>0.18263470000000001</v>
      </c>
      <c r="C6" s="1">
        <v>0.21944330000000001</v>
      </c>
      <c r="D6" s="1">
        <v>8.502345</v>
      </c>
      <c r="E6" s="1">
        <v>-7.6960879999999996</v>
      </c>
      <c r="G6" s="1">
        <v>8.3214039999999993E-3</v>
      </c>
      <c r="H6" s="1">
        <v>-1248.373</v>
      </c>
      <c r="I6" s="1">
        <f t="shared" ref="I6:I15" si="0">H6*PI()/180</f>
        <v>-21.788219142999171</v>
      </c>
    </row>
    <row r="7" spans="1:9" x14ac:dyDescent="0.4">
      <c r="A7" s="1">
        <v>1.250361E-2</v>
      </c>
      <c r="B7" s="1">
        <v>0.21932779999999999</v>
      </c>
      <c r="C7" s="1">
        <v>0.187031</v>
      </c>
      <c r="D7" s="1">
        <v>8.7236840000000004</v>
      </c>
      <c r="E7" s="1">
        <v>-7.9906009999999998</v>
      </c>
      <c r="G7" s="1">
        <v>1.250361E-2</v>
      </c>
      <c r="H7" s="1">
        <v>-1403.6220000000001</v>
      </c>
      <c r="I7" s="1">
        <f t="shared" si="0"/>
        <v>-24.497825353427849</v>
      </c>
    </row>
    <row r="8" spans="1:9" x14ac:dyDescent="0.4">
      <c r="A8" s="1">
        <v>1.6663609999999999E-2</v>
      </c>
      <c r="B8" s="1">
        <v>0.25540950000000001</v>
      </c>
      <c r="C8" s="1">
        <v>0.15278410000000001</v>
      </c>
      <c r="D8" s="1">
        <v>8.8924800000000008</v>
      </c>
      <c r="E8" s="1">
        <v>-7.9370890000000003</v>
      </c>
      <c r="G8" s="1">
        <v>1.6663609999999999E-2</v>
      </c>
      <c r="H8" s="1">
        <v>-2503.7339999999999</v>
      </c>
      <c r="I8" s="1">
        <f t="shared" si="0"/>
        <v>-43.698401894127706</v>
      </c>
    </row>
    <row r="9" spans="1:9" x14ac:dyDescent="0.4">
      <c r="A9" s="1">
        <v>2.0825010000000001E-2</v>
      </c>
      <c r="B9" s="1">
        <v>0.29332580000000003</v>
      </c>
      <c r="C9" s="1">
        <v>0.1209833</v>
      </c>
      <c r="D9" s="1">
        <v>6.5407500000000001</v>
      </c>
      <c r="E9" s="1">
        <v>-2.3517299999999999</v>
      </c>
      <c r="G9" s="1">
        <v>2.0825010000000001E-2</v>
      </c>
      <c r="H9" s="1">
        <v>-4365.32</v>
      </c>
      <c r="I9" s="1">
        <f t="shared" si="0"/>
        <v>-76.189206903158862</v>
      </c>
    </row>
    <row r="10" spans="1:9" x14ac:dyDescent="0.4">
      <c r="A10" s="1">
        <v>2.498502E-2</v>
      </c>
      <c r="B10" s="1">
        <v>0.30983769999999999</v>
      </c>
      <c r="C10" s="1">
        <v>0.13321440000000001</v>
      </c>
      <c r="D10" s="1">
        <v>4.3941119999999998</v>
      </c>
      <c r="E10" s="1">
        <v>3.2223489999999999</v>
      </c>
      <c r="G10" s="1">
        <v>2.498502E-2</v>
      </c>
      <c r="H10" s="1">
        <v>-5548.049</v>
      </c>
      <c r="I10" s="1">
        <f t="shared" si="0"/>
        <v>-96.831722111978863</v>
      </c>
    </row>
    <row r="11" spans="1:9" x14ac:dyDescent="0.4">
      <c r="A11" s="1">
        <v>2.917554E-2</v>
      </c>
      <c r="B11" s="1">
        <v>0.3300189</v>
      </c>
      <c r="C11" s="1">
        <v>0.14789160000000001</v>
      </c>
      <c r="D11" s="1">
        <v>4.4673470000000002</v>
      </c>
      <c r="E11" s="1">
        <v>3.8082310000000001</v>
      </c>
      <c r="G11" s="1">
        <v>2.917554E-2</v>
      </c>
      <c r="H11" s="1">
        <v>-5643.9970000000003</v>
      </c>
      <c r="I11" s="1">
        <f t="shared" si="0"/>
        <v>-98.506330622682398</v>
      </c>
    </row>
    <row r="12" spans="1:9" x14ac:dyDescent="0.4">
      <c r="A12" s="1">
        <v>3.3335549999999999E-2</v>
      </c>
      <c r="B12" s="1">
        <v>0.34714240000000002</v>
      </c>
      <c r="C12" s="1">
        <v>0.1650151</v>
      </c>
      <c r="D12" s="1">
        <v>4.8504440000000004</v>
      </c>
      <c r="E12" s="1">
        <v>4.1155280000000003</v>
      </c>
      <c r="G12" s="1">
        <v>3.3335549999999999E-2</v>
      </c>
      <c r="H12" s="1">
        <v>-4382.7</v>
      </c>
      <c r="I12" s="1">
        <f t="shared" si="0"/>
        <v>-76.492545127155481</v>
      </c>
    </row>
    <row r="13" spans="1:9" x14ac:dyDescent="0.4">
      <c r="A13" s="1">
        <v>3.7496950000000001E-2</v>
      </c>
      <c r="B13" s="1">
        <v>0.37038140000000003</v>
      </c>
      <c r="C13" s="1">
        <v>0.18213860000000001</v>
      </c>
      <c r="D13" s="1">
        <v>6.173292</v>
      </c>
      <c r="E13" s="1">
        <v>4.2625109999999999</v>
      </c>
      <c r="G13" s="1">
        <v>3.7496950000000001E-2</v>
      </c>
      <c r="H13" s="1">
        <v>-4010.5169999999998</v>
      </c>
      <c r="I13" s="1">
        <f t="shared" si="0"/>
        <v>-69.996726357205418</v>
      </c>
    </row>
    <row r="14" spans="1:9" x14ac:dyDescent="0.4">
      <c r="A14" s="1">
        <v>4.165696E-2</v>
      </c>
      <c r="B14" s="1">
        <v>0.3985129</v>
      </c>
      <c r="C14" s="1">
        <v>0.2004852</v>
      </c>
      <c r="D14" s="1">
        <v>6.8233420000000002</v>
      </c>
      <c r="E14" s="1">
        <v>4.2554169999999996</v>
      </c>
      <c r="G14" s="1">
        <v>4.165696E-2</v>
      </c>
      <c r="H14" s="1">
        <v>-4288.8159999999998</v>
      </c>
      <c r="I14" s="1">
        <f t="shared" si="0"/>
        <v>-74.853960212213124</v>
      </c>
    </row>
    <row r="15" spans="1:9" x14ac:dyDescent="0.4">
      <c r="A15" s="1">
        <v>4.583222E-2</v>
      </c>
      <c r="B15" s="1">
        <v>0.42725590000000002</v>
      </c>
      <c r="C15" s="1">
        <v>0.21760869999999999</v>
      </c>
      <c r="D15" s="1">
        <v>6.9689209999999999</v>
      </c>
      <c r="E15" s="1">
        <v>4.1079949999999998</v>
      </c>
      <c r="G15" s="1">
        <v>4.583222E-2</v>
      </c>
      <c r="H15" s="1">
        <v>-3888.89</v>
      </c>
      <c r="I15" s="1">
        <f t="shared" si="0"/>
        <v>-67.873934747882288</v>
      </c>
    </row>
    <row r="16" spans="1:9" x14ac:dyDescent="0.4">
      <c r="A16" s="1">
        <v>4.9993620000000003E-2</v>
      </c>
      <c r="B16" s="1">
        <v>0.45661040000000003</v>
      </c>
      <c r="C16" s="1">
        <v>0.2347322</v>
      </c>
      <c r="D16" s="1">
        <v>6.760097</v>
      </c>
      <c r="E16" s="1">
        <v>3.6739660000000001</v>
      </c>
      <c r="G16" s="1">
        <v>4.9993620000000003E-2</v>
      </c>
    </row>
    <row r="17" spans="1:9" x14ac:dyDescent="0.4">
      <c r="A17" s="1">
        <v>5.4155010000000003E-2</v>
      </c>
      <c r="B17" s="1">
        <v>0.48351880000000003</v>
      </c>
      <c r="C17" s="1">
        <v>0.2481863</v>
      </c>
      <c r="D17" s="1">
        <v>6.6142409999999998</v>
      </c>
      <c r="E17" s="1">
        <v>3.6010870000000001</v>
      </c>
    </row>
    <row r="18" spans="1:9" x14ac:dyDescent="0.4">
      <c r="A18" s="1">
        <v>5.8315020000000002E-2</v>
      </c>
      <c r="B18" s="1">
        <v>0.51165020000000005</v>
      </c>
      <c r="C18" s="1">
        <v>0.2646983</v>
      </c>
    </row>
    <row r="19" spans="1:9" x14ac:dyDescent="0.4">
      <c r="D19" s="1">
        <f>AVERAGE(D5:D8)</f>
        <v>8.660882749999999</v>
      </c>
      <c r="E19" s="1">
        <f>AVERAGE(E5:E8)</f>
        <v>-7.8718439999999994</v>
      </c>
      <c r="I19" s="1">
        <f>AVERAGE(I12:I15)</f>
        <v>-72.304291611114081</v>
      </c>
    </row>
    <row r="20" spans="1:9" x14ac:dyDescent="0.4">
      <c r="D20" s="1">
        <f>AVERAGE(D13:D17)</f>
        <v>6.6679786000000005</v>
      </c>
      <c r="E20" s="1">
        <f>AVERAGE(E13:E17)</f>
        <v>3.9801951999999998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E2845-8E6E-4717-AA27-314AB93C1028}">
  <dimension ref="B2:J24"/>
  <sheetViews>
    <sheetView topLeftCell="A4" workbookViewId="0">
      <selection activeCell="J18" sqref="J18"/>
    </sheetView>
  </sheetViews>
  <sheetFormatPr defaultRowHeight="17.399999999999999" x14ac:dyDescent="0.4"/>
  <cols>
    <col min="5" max="5" width="9" bestFit="1" customWidth="1"/>
    <col min="6" max="6" width="9.8984375" customWidth="1"/>
    <col min="9" max="9" width="10.59765625" customWidth="1"/>
    <col min="10" max="10" width="9.69921875" bestFit="1" customWidth="1"/>
  </cols>
  <sheetData>
    <row r="2" spans="2:10" x14ac:dyDescent="0.4">
      <c r="C2" t="s">
        <v>0</v>
      </c>
      <c r="I2" t="s">
        <v>8</v>
      </c>
    </row>
    <row r="3" spans="2:10" x14ac:dyDescent="0.4">
      <c r="B3" t="s">
        <v>1</v>
      </c>
      <c r="C3" t="s">
        <v>2</v>
      </c>
      <c r="D3" t="s">
        <v>3</v>
      </c>
      <c r="E3" t="s">
        <v>4</v>
      </c>
      <c r="F3" t="s">
        <v>5</v>
      </c>
      <c r="H3" t="s">
        <v>1</v>
      </c>
      <c r="I3" t="s">
        <v>9</v>
      </c>
    </row>
    <row r="4" spans="2:10" x14ac:dyDescent="0.4">
      <c r="B4" s="1">
        <v>0</v>
      </c>
      <c r="C4" s="1">
        <v>7.359811E-3</v>
      </c>
      <c r="D4" s="1">
        <v>0.2250875</v>
      </c>
      <c r="H4" s="1">
        <v>0</v>
      </c>
    </row>
    <row r="5" spans="2:10" x14ac:dyDescent="0.4">
      <c r="B5" s="1">
        <v>4.1754280000000001E-3</v>
      </c>
      <c r="C5" s="1">
        <v>3.6185740000000001E-2</v>
      </c>
      <c r="D5" s="1">
        <v>0.2060747</v>
      </c>
      <c r="E5" s="1">
        <v>7.0623250000000004</v>
      </c>
      <c r="F5" s="1">
        <v>-4.5610850000000003</v>
      </c>
      <c r="H5" s="1">
        <v>4.1754280000000001E-3</v>
      </c>
      <c r="I5" s="1">
        <v>-1108.827</v>
      </c>
      <c r="J5" s="1">
        <f>I5*PI()/180</f>
        <v>-19.352681985011163</v>
      </c>
    </row>
    <row r="6" spans="2:10" x14ac:dyDescent="0.4">
      <c r="B6" s="1">
        <v>8.3369840000000004E-3</v>
      </c>
      <c r="C6" s="1">
        <v>6.62383E-2</v>
      </c>
      <c r="D6" s="1">
        <v>0.1870619</v>
      </c>
      <c r="E6" s="1">
        <v>7.1489750000000001</v>
      </c>
      <c r="F6" s="1">
        <v>-4.6431490000000002</v>
      </c>
      <c r="H6" s="1">
        <v>8.3369840000000004E-3</v>
      </c>
      <c r="I6" s="1">
        <v>-924.7577</v>
      </c>
      <c r="J6" s="1">
        <f t="shared" ref="J6:J16" si="0">I6*PI()/180</f>
        <v>-16.140066648169963</v>
      </c>
    </row>
    <row r="7" spans="2:10" x14ac:dyDescent="0.4">
      <c r="B7" s="1">
        <v>1.249715E-2</v>
      </c>
      <c r="C7" s="1">
        <v>9.5677540000000005E-2</v>
      </c>
      <c r="D7" s="1">
        <v>0.16743569999999999</v>
      </c>
      <c r="E7" s="1">
        <v>7.2963769999999997</v>
      </c>
      <c r="F7" s="1">
        <v>-4.6431490000000002</v>
      </c>
      <c r="H7" s="1">
        <v>1.249715E-2</v>
      </c>
      <c r="I7" s="1">
        <v>-1233.9100000000001</v>
      </c>
      <c r="J7" s="1">
        <f t="shared" si="0"/>
        <v>-21.535792173283234</v>
      </c>
    </row>
    <row r="8" spans="2:10" x14ac:dyDescent="0.4">
      <c r="B8" s="1">
        <v>1.665871E-2</v>
      </c>
      <c r="C8" s="1">
        <v>0.12695670000000001</v>
      </c>
      <c r="D8" s="1">
        <v>0.1484229</v>
      </c>
      <c r="E8" s="1">
        <v>7.350473</v>
      </c>
      <c r="F8" s="1">
        <v>-4.6307980000000004</v>
      </c>
      <c r="H8" s="1">
        <v>1.665871E-2</v>
      </c>
      <c r="I8" s="1">
        <v>-2277.5479999999998</v>
      </c>
      <c r="J8" s="1">
        <f t="shared" si="0"/>
        <v>-39.750711472211805</v>
      </c>
    </row>
    <row r="9" spans="2:10" x14ac:dyDescent="0.4">
      <c r="B9" s="1">
        <v>2.084107E-2</v>
      </c>
      <c r="C9" s="1">
        <v>0.15700929999999999</v>
      </c>
      <c r="D9" s="1">
        <v>0.12879669999999999</v>
      </c>
      <c r="E9" s="1">
        <v>5.7333689999999997</v>
      </c>
      <c r="F9" s="1">
        <v>-0.51453309999999997</v>
      </c>
      <c r="H9" s="1">
        <v>2.084107E-2</v>
      </c>
      <c r="I9" s="1">
        <v>-4263.7460000000001</v>
      </c>
      <c r="J9" s="1">
        <f t="shared" si="0"/>
        <v>-74.416406168738149</v>
      </c>
    </row>
    <row r="10" spans="2:10" x14ac:dyDescent="0.4">
      <c r="B10" s="1">
        <v>2.5002630000000001E-2</v>
      </c>
      <c r="C10" s="1">
        <v>0.17479549999999999</v>
      </c>
      <c r="D10" s="1">
        <v>0.1441296</v>
      </c>
      <c r="E10" s="1">
        <v>4.127243</v>
      </c>
      <c r="F10" s="1">
        <v>3.0954329999999999</v>
      </c>
      <c r="H10" s="1">
        <v>2.5002630000000001E-2</v>
      </c>
      <c r="I10" s="1">
        <v>-5345.0789999999997</v>
      </c>
      <c r="J10" s="1">
        <f t="shared" si="0"/>
        <v>-93.289227329205985</v>
      </c>
    </row>
    <row r="11" spans="2:10" x14ac:dyDescent="0.4">
      <c r="B11" s="1">
        <v>2.9162799999999999E-2</v>
      </c>
      <c r="C11" s="1">
        <v>0.1913551</v>
      </c>
      <c r="D11" s="1">
        <v>0.154556</v>
      </c>
      <c r="E11" s="1">
        <v>4.127243</v>
      </c>
      <c r="F11" s="1">
        <v>3.0217320000000001</v>
      </c>
      <c r="H11" s="1">
        <v>2.9162799999999999E-2</v>
      </c>
      <c r="I11" s="1">
        <v>-5321.2939999999999</v>
      </c>
      <c r="J11" s="1">
        <f t="shared" si="0"/>
        <v>-92.874100766619122</v>
      </c>
    </row>
    <row r="12" spans="2:10" x14ac:dyDescent="0.4">
      <c r="B12" s="1">
        <v>3.3324350000000003E-2</v>
      </c>
      <c r="C12" s="1">
        <v>0.2091413</v>
      </c>
      <c r="D12" s="1">
        <v>0.1692757</v>
      </c>
      <c r="E12" s="1">
        <v>4.4095510000000004</v>
      </c>
      <c r="F12" s="1">
        <v>3.3071630000000001</v>
      </c>
      <c r="H12" s="1">
        <v>3.3324350000000003E-2</v>
      </c>
      <c r="I12" s="1">
        <v>-5189.9219999999996</v>
      </c>
      <c r="J12" s="1">
        <f t="shared" si="0"/>
        <v>-90.581226821689143</v>
      </c>
    </row>
    <row r="13" spans="2:10" x14ac:dyDescent="0.4">
      <c r="B13" s="1">
        <v>3.7508100000000003E-2</v>
      </c>
      <c r="C13" s="1">
        <v>0.2281541</v>
      </c>
      <c r="D13" s="1">
        <v>0.18215529999999999</v>
      </c>
      <c r="E13" s="1">
        <v>4.4830430000000003</v>
      </c>
      <c r="F13" s="1">
        <v>3.0866859999999998</v>
      </c>
      <c r="H13" s="1">
        <v>3.7508100000000003E-2</v>
      </c>
      <c r="I13" s="1">
        <v>-5455.0749999999998</v>
      </c>
      <c r="J13" s="1">
        <f t="shared" si="0"/>
        <v>-95.209019693229678</v>
      </c>
    </row>
    <row r="14" spans="2:10" x14ac:dyDescent="0.4">
      <c r="B14" s="1">
        <v>4.1669659999999997E-2</v>
      </c>
      <c r="C14" s="1">
        <v>0.24655369999999999</v>
      </c>
      <c r="D14" s="1">
        <v>0.19503499999999999</v>
      </c>
      <c r="E14" s="1">
        <v>4.257854</v>
      </c>
      <c r="F14" s="1">
        <v>2.9762599999999999</v>
      </c>
      <c r="H14" s="1">
        <v>4.1669659999999997E-2</v>
      </c>
      <c r="I14" s="1">
        <v>-5295.9870000000001</v>
      </c>
      <c r="J14" s="1">
        <f t="shared" si="0"/>
        <v>-92.43241029281694</v>
      </c>
    </row>
    <row r="15" spans="2:10" x14ac:dyDescent="0.4">
      <c r="B15" s="1">
        <v>4.5831219999999999E-2</v>
      </c>
      <c r="C15" s="1">
        <v>0.26359270000000001</v>
      </c>
      <c r="D15" s="1">
        <v>0.2069271</v>
      </c>
      <c r="E15" s="1">
        <v>4.2143179999999996</v>
      </c>
      <c r="F15" s="1">
        <v>2.939219</v>
      </c>
      <c r="H15" s="1">
        <v>4.5831219999999999E-2</v>
      </c>
      <c r="I15" s="1">
        <v>-4134.4889999999996</v>
      </c>
      <c r="J15" s="1">
        <f t="shared" si="0"/>
        <v>-72.160445937487822</v>
      </c>
    </row>
    <row r="16" spans="2:10" x14ac:dyDescent="0.4">
      <c r="B16" s="1">
        <v>4.9991380000000002E-2</v>
      </c>
      <c r="C16" s="1">
        <v>0.28162409999999999</v>
      </c>
      <c r="D16" s="1">
        <v>0.21949440000000001</v>
      </c>
      <c r="E16" s="1">
        <v>4.3809579999999997</v>
      </c>
      <c r="F16" s="1">
        <v>2.8770470000000001</v>
      </c>
      <c r="H16" s="1">
        <v>4.9991380000000002E-2</v>
      </c>
      <c r="I16" s="1">
        <v>-4528.8100000000004</v>
      </c>
      <c r="J16" s="1">
        <f t="shared" si="0"/>
        <v>-79.042645697244396</v>
      </c>
    </row>
    <row r="17" spans="2:10" x14ac:dyDescent="0.4">
      <c r="B17" s="1">
        <v>5.4187619999999999E-2</v>
      </c>
      <c r="C17" s="1">
        <v>0.30020180000000002</v>
      </c>
      <c r="D17" s="1">
        <v>0.2309688</v>
      </c>
      <c r="E17" s="1">
        <v>4.4463460000000001</v>
      </c>
      <c r="F17" s="1">
        <v>2.8116599999999998</v>
      </c>
      <c r="H17" s="1">
        <v>5.4187619999999999E-2</v>
      </c>
    </row>
    <row r="18" spans="2:10" x14ac:dyDescent="0.4">
      <c r="B18" s="1">
        <v>5.8347789999999997E-2</v>
      </c>
      <c r="C18" s="1">
        <v>0.31877949999999999</v>
      </c>
      <c r="D18" s="1">
        <v>0.2429897</v>
      </c>
      <c r="E18" s="1">
        <v>4.3335549999999996</v>
      </c>
      <c r="F18" s="1">
        <v>2.8890370000000001</v>
      </c>
      <c r="J18" s="1">
        <f>AVERAGE(J10:J16)</f>
        <v>-87.941296648327594</v>
      </c>
    </row>
    <row r="19" spans="2:10" x14ac:dyDescent="0.4">
      <c r="B19" s="1">
        <v>6.2509350000000005E-2</v>
      </c>
      <c r="C19" s="1">
        <v>0.33626440000000002</v>
      </c>
      <c r="D19" s="1">
        <v>0.25501059999999998</v>
      </c>
      <c r="E19" s="1">
        <v>4.2678950000000002</v>
      </c>
      <c r="F19" s="1">
        <v>2.8233769999999998</v>
      </c>
    </row>
    <row r="20" spans="2:10" x14ac:dyDescent="0.4">
      <c r="B20" s="1">
        <v>6.6669510000000001E-2</v>
      </c>
      <c r="C20" s="1">
        <v>0.35429579999999999</v>
      </c>
      <c r="D20" s="1">
        <v>0.26648509999999997</v>
      </c>
      <c r="E20" s="1">
        <v>4.6540970000000002</v>
      </c>
      <c r="F20" s="1">
        <v>2.9497800000000001</v>
      </c>
    </row>
    <row r="21" spans="2:10" x14ac:dyDescent="0.4">
      <c r="B21" s="1">
        <v>7.0844939999999995E-2</v>
      </c>
      <c r="C21" s="1">
        <v>0.37505909999999998</v>
      </c>
      <c r="D21" s="1">
        <v>0.27959879999999998</v>
      </c>
      <c r="E21" s="1">
        <v>4.8507490000000004</v>
      </c>
      <c r="F21" s="1">
        <v>2.8186779999999998</v>
      </c>
    </row>
    <row r="22" spans="2:10" x14ac:dyDescent="0.4">
      <c r="B22" s="1">
        <v>7.500511E-2</v>
      </c>
      <c r="C22" s="1">
        <v>0.39472970000000002</v>
      </c>
      <c r="D22" s="1">
        <v>0.28998049999999997</v>
      </c>
    </row>
    <row r="23" spans="2:10" x14ac:dyDescent="0.4">
      <c r="E23" s="1">
        <f>AVERAGE(E5:E8)</f>
        <v>7.2145375000000005</v>
      </c>
      <c r="F23" s="1">
        <f>AVERAGE(F5:F8)</f>
        <v>-4.6195452499999998</v>
      </c>
    </row>
    <row r="24" spans="2:10" x14ac:dyDescent="0.4">
      <c r="E24" s="1">
        <f>AVERAGE(E10:E21)</f>
        <v>4.3794043333333335</v>
      </c>
      <c r="F24" s="1">
        <f>AVERAGE(F10:F21)</f>
        <v>2.9663393333333334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A27A0-E7DB-4F60-8118-77E46A746DED}">
  <dimension ref="A1"/>
  <sheetViews>
    <sheetView workbookViewId="0"/>
  </sheetViews>
  <sheetFormatPr defaultRowHeight="17.399999999999999" x14ac:dyDescent="0.4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total</vt:lpstr>
      <vt:lpstr>video 1</vt:lpstr>
      <vt:lpstr>video2</vt:lpstr>
      <vt:lpstr>video3</vt:lpstr>
      <vt:lpstr>video4</vt:lpstr>
      <vt:lpstr>Sheet6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예주 강</dc:creator>
  <cp:lastModifiedBy>나연 김</cp:lastModifiedBy>
  <dcterms:created xsi:type="dcterms:W3CDTF">2026-06-15T05:56:37Z</dcterms:created>
  <dcterms:modified xsi:type="dcterms:W3CDTF">2026-06-15T15:07:04Z</dcterms:modified>
</cp:coreProperties>
</file>